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<sst xmlns="http://schemas.openxmlformats.org/spreadsheetml/2006/main" count="339" uniqueCount="21">
  <si>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</si>
  <si>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</si>
  <si>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</si>
  <si>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</si>
  <si>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</si>
  <si>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</si>
  <si>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</si>
  <si>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</si>
  <si>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</si>
  <si>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</si>
  <si>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</si>
  <si>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</si>
  <si>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</si>
  <si>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</si>
  <si>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Aug p</t>
  </si>
  <si>
    <t>Value of retail sales</t>
  </si>
  <si>
    <t>Value index of retail sales</t>
  </si>
  <si>
    <t>HK$ million</t>
  </si>
  <si>
    <t>Index</t>
  </si>
  <si>
    <t>Year-on-year % change</t>
  </si>
  <si>
    <t>Jewellery, watches and clocks, and valuable gifts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</si>
</sst>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Arial"/>
    </font>
    <font/>
    <font>
      <sz val="11.0"/>
      <color rgb="FF000000"/>
      <name val="Arial"/>
    </font>
    <font>
      <sz val="12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2E1E3"/>
        <bgColor rgb="FFB2E1E3"/>
      </patternFill>
    </fill>
    <fill>
      <patternFill patternType="solid">
        <fgColor rgb="FF1C8388"/>
        <bgColor rgb="FF1C8388"/>
      </patternFill>
    </fill>
    <fill>
      <patternFill patternType="solid">
        <fgColor rgb="FF99D7DA"/>
        <bgColor rgb="FF99D7DA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5" fillId="2" fontId="3" numFmtId="0" xfId="0" applyAlignment="1" applyBorder="1" applyFill="1" applyFont="1">
      <alignment horizontal="center" readingOrder="0"/>
    </xf>
    <xf borderId="7" fillId="3" fontId="4" numFmtId="0" xfId="0" applyAlignment="1" applyBorder="1" applyFill="1" applyFont="1">
      <alignment horizontal="center"/>
    </xf>
    <xf borderId="8" fillId="3" fontId="4" numFmtId="0" xfId="0" applyAlignment="1" applyBorder="1" applyFill="1" applyFont="1">
      <alignment horizontal="center" readingOrder="0"/>
    </xf>
    <xf borderId="9" fillId="3" fontId="4" numFmtId="0" xfId="0" applyAlignment="1" applyBorder="1" applyFill="1" applyFont="1">
      <alignment horizontal="center" readingOrder="0"/>
    </xf>
    <xf borderId="8" fillId="0" fontId="2" numFmtId="0" xfId="0" applyBorder="1" applyFont="1"/>
    <xf borderId="10" fillId="0" fontId="2" numFmtId="0" xfId="0" applyBorder="1" applyFont="1"/>
    <xf borderId="4" fillId="4" fontId="1" numFmtId="0" xfId="0" applyAlignment="1" applyBorder="1" applyFill="1" applyFont="1">
      <alignment horizontal="left" readingOrder="0" vertical="top"/>
    </xf>
    <xf borderId="6" fillId="5" fontId="1" numFmtId="3" xfId="0" applyAlignment="1" applyBorder="1" applyFill="1" applyFont="1" applyNumberFormat="1">
      <alignment horizontal="right" readingOrder="0"/>
    </xf>
    <xf borderId="6" fillId="5" fontId="1" numFmtId="0" xfId="0" applyAlignment="1" applyBorder="1" applyFill="1" applyFont="1">
      <alignment horizontal="right" readingOrder="0"/>
    </xf>
    <xf borderId="6" fillId="5" fontId="1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2022.0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2">
        <v>2023.0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4"/>
      <c r="BV1" s="2">
        <v>2024.0</v>
      </c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4"/>
      <c r="DF1" s="2">
        <v>2025.0</v>
      </c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4"/>
      <c r="EP1" s="2">
        <v>2026.0</v>
      </c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4"/>
    </row>
    <row r="2">
      <c r="A2" s="5" t="s">
        <v>1</v>
      </c>
      <c r="B2" s="6" t="s">
        <v>2</v>
      </c>
      <c r="C2" s="7"/>
      <c r="D2" s="8"/>
      <c r="E2" s="6" t="s">
        <v>3</v>
      </c>
      <c r="F2" s="7"/>
      <c r="G2" s="8"/>
      <c r="H2" s="6" t="s">
        <v>4</v>
      </c>
      <c r="I2" s="7"/>
      <c r="J2" s="8"/>
      <c r="K2" s="6" t="s">
        <v>5</v>
      </c>
      <c r="L2" s="7"/>
      <c r="M2" s="8"/>
      <c r="N2" s="6" t="s">
        <v>6</v>
      </c>
      <c r="O2" s="7"/>
      <c r="P2" s="8"/>
      <c r="Q2" s="6" t="s">
        <v>7</v>
      </c>
      <c r="R2" s="7"/>
      <c r="S2" s="8"/>
      <c r="T2" s="6" t="s">
        <v>8</v>
      </c>
      <c r="U2" s="7"/>
      <c r="V2" s="8"/>
      <c r="W2" s="6" t="s">
        <v>9</v>
      </c>
      <c r="X2" s="7"/>
      <c r="Y2" s="8"/>
      <c r="Z2" s="6" t="s">
        <v>10</v>
      </c>
      <c r="AA2" s="7"/>
      <c r="AB2" s="8"/>
      <c r="AC2" s="6" t="s">
        <v>11</v>
      </c>
      <c r="AD2" s="7"/>
      <c r="AE2" s="8"/>
      <c r="AF2" s="6" t="s">
        <v>12</v>
      </c>
      <c r="AG2" s="7"/>
      <c r="AH2" s="8"/>
      <c r="AI2" s="6" t="s">
        <v>13</v>
      </c>
      <c r="AJ2" s="7"/>
      <c r="AK2" s="8"/>
      <c r="AL2" s="6" t="s">
        <v>2</v>
      </c>
      <c r="AM2" s="7"/>
      <c r="AN2" s="8"/>
      <c r="AO2" s="6" t="s">
        <v>3</v>
      </c>
      <c r="AP2" s="7"/>
      <c r="AQ2" s="8"/>
      <c r="AR2" s="6" t="s">
        <v>4</v>
      </c>
      <c r="AS2" s="7"/>
      <c r="AT2" s="8"/>
      <c r="AU2" s="6" t="s">
        <v>5</v>
      </c>
      <c r="AV2" s="7"/>
      <c r="AW2" s="8"/>
      <c r="AX2" s="6" t="s">
        <v>6</v>
      </c>
      <c r="AY2" s="7"/>
      <c r="AZ2" s="8"/>
      <c r="BA2" s="6" t="s">
        <v>7</v>
      </c>
      <c r="BB2" s="7"/>
      <c r="BC2" s="8"/>
      <c r="BD2" s="6" t="s">
        <v>8</v>
      </c>
      <c r="BE2" s="7"/>
      <c r="BF2" s="8"/>
      <c r="BG2" s="6" t="s">
        <v>9</v>
      </c>
      <c r="BH2" s="7"/>
      <c r="BI2" s="8"/>
      <c r="BJ2" s="6" t="s">
        <v>10</v>
      </c>
      <c r="BK2" s="7"/>
      <c r="BL2" s="8"/>
      <c r="BM2" s="6" t="s">
        <v>11</v>
      </c>
      <c r="BN2" s="7"/>
      <c r="BO2" s="8"/>
      <c r="BP2" s="6" t="s">
        <v>12</v>
      </c>
      <c r="BQ2" s="7"/>
      <c r="BR2" s="8"/>
      <c r="BS2" s="6" t="s">
        <v>13</v>
      </c>
      <c r="BT2" s="7"/>
      <c r="BU2" s="8"/>
      <c r="BV2" s="6" t="s">
        <v>2</v>
      </c>
      <c r="BW2" s="7"/>
      <c r="BX2" s="8"/>
      <c r="BY2" s="6" t="s">
        <v>3</v>
      </c>
      <c r="BZ2" s="7"/>
      <c r="CA2" s="8"/>
      <c r="CB2" s="6" t="s">
        <v>4</v>
      </c>
      <c r="CC2" s="7"/>
      <c r="CD2" s="8"/>
      <c r="CE2" s="6" t="s">
        <v>5</v>
      </c>
      <c r="CF2" s="7"/>
      <c r="CG2" s="8"/>
      <c r="CH2" s="6" t="s">
        <v>6</v>
      </c>
      <c r="CI2" s="7"/>
      <c r="CJ2" s="8"/>
      <c r="CK2" s="6" t="s">
        <v>7</v>
      </c>
      <c r="CL2" s="7"/>
      <c r="CM2" s="8"/>
      <c r="CN2" s="6" t="s">
        <v>8</v>
      </c>
      <c r="CO2" s="7"/>
      <c r="CP2" s="8"/>
      <c r="CQ2" s="6" t="s">
        <v>9</v>
      </c>
      <c r="CR2" s="7"/>
      <c r="CS2" s="8"/>
      <c r="CT2" s="6" t="s">
        <v>10</v>
      </c>
      <c r="CU2" s="7"/>
      <c r="CV2" s="8"/>
      <c r="CW2" s="6" t="s">
        <v>11</v>
      </c>
      <c r="CX2" s="7"/>
      <c r="CY2" s="8"/>
      <c r="CZ2" s="6" t="s">
        <v>12</v>
      </c>
      <c r="DA2" s="7"/>
      <c r="DB2" s="8"/>
      <c r="DC2" s="6" t="s">
        <v>13</v>
      </c>
      <c r="DD2" s="7"/>
      <c r="DE2" s="8"/>
      <c r="DF2" s="6" t="s">
        <v>2</v>
      </c>
      <c r="DG2" s="7"/>
      <c r="DH2" s="8"/>
      <c r="DI2" s="6" t="s">
        <v>3</v>
      </c>
      <c r="DJ2" s="7"/>
      <c r="DK2" s="8"/>
      <c r="DL2" s="6" t="s">
        <v>4</v>
      </c>
      <c r="DM2" s="7"/>
      <c r="DN2" s="8"/>
      <c r="DO2" s="6" t="s">
        <v>5</v>
      </c>
      <c r="DP2" s="7"/>
      <c r="DQ2" s="8"/>
      <c r="DR2" s="6" t="s">
        <v>6</v>
      </c>
      <c r="DS2" s="7"/>
      <c r="DT2" s="8"/>
      <c r="DU2" s="6" t="s">
        <v>7</v>
      </c>
      <c r="DV2" s="7"/>
      <c r="DW2" s="8"/>
      <c r="DX2" s="6" t="s">
        <v>8</v>
      </c>
      <c r="DY2" s="7"/>
      <c r="DZ2" s="8"/>
      <c r="EA2" s="6" t="s">
        <v>9</v>
      </c>
      <c r="EB2" s="7"/>
      <c r="EC2" s="8"/>
      <c r="ED2" s="6" t="s">
        <v>10</v>
      </c>
      <c r="EE2" s="7"/>
      <c r="EF2" s="8"/>
      <c r="EG2" s="6" t="s">
        <v>11</v>
      </c>
      <c r="EH2" s="7"/>
      <c r="EI2" s="8"/>
      <c r="EJ2" s="6" t="s">
        <v>12</v>
      </c>
      <c r="EK2" s="7"/>
      <c r="EL2" s="8"/>
      <c r="EM2" s="6" t="s">
        <v>13</v>
      </c>
      <c r="EN2" s="7"/>
      <c r="EO2" s="8"/>
      <c r="EP2" s="6" t="s">
        <v>2</v>
      </c>
      <c r="EQ2" s="7"/>
      <c r="ER2" s="8"/>
      <c r="ES2" s="6" t="s">
        <v>3</v>
      </c>
      <c r="ET2" s="7"/>
      <c r="EU2" s="8"/>
      <c r="EV2" s="6" t="s">
        <v>4</v>
      </c>
      <c r="EW2" s="7"/>
      <c r="EX2" s="8"/>
      <c r="EY2" s="6" t="s">
        <v>5</v>
      </c>
      <c r="EZ2" s="7"/>
      <c r="FA2" s="8"/>
      <c r="FB2" s="6" t="s">
        <v>6</v>
      </c>
      <c r="FC2" s="7"/>
      <c r="FD2" s="8"/>
      <c r="FE2" s="6" t="s">
        <v>7</v>
      </c>
      <c r="FF2" s="7"/>
      <c r="FG2" s="8"/>
      <c r="FH2" s="6" t="s">
        <v>8</v>
      </c>
      <c r="FI2" s="7"/>
      <c r="FJ2" s="8"/>
      <c r="FK2" s="9" t="s">
        <v>14</v>
      </c>
      <c r="FL2" s="7"/>
      <c r="FM2" s="8"/>
    </row>
    <row r="3">
      <c r="A3" s="10"/>
      <c r="B3" s="11" t="s">
        <v>15</v>
      </c>
      <c r="C3" s="12" t="s">
        <v>16</v>
      </c>
      <c r="D3" s="13"/>
      <c r="E3" s="11" t="s">
        <v>15</v>
      </c>
      <c r="F3" s="12" t="s">
        <v>16</v>
      </c>
      <c r="G3" s="13"/>
      <c r="H3" s="11" t="s">
        <v>15</v>
      </c>
      <c r="I3" s="12" t="s">
        <v>16</v>
      </c>
      <c r="J3" s="13"/>
      <c r="K3" s="11" t="s">
        <v>15</v>
      </c>
      <c r="L3" s="12" t="s">
        <v>16</v>
      </c>
      <c r="M3" s="13"/>
      <c r="N3" s="11" t="s">
        <v>15</v>
      </c>
      <c r="O3" s="12" t="s">
        <v>16</v>
      </c>
      <c r="P3" s="13"/>
      <c r="Q3" s="11" t="s">
        <v>15</v>
      </c>
      <c r="R3" s="12" t="s">
        <v>16</v>
      </c>
      <c r="S3" s="13"/>
      <c r="T3" s="11" t="s">
        <v>15</v>
      </c>
      <c r="U3" s="12" t="s">
        <v>16</v>
      </c>
      <c r="V3" s="13"/>
      <c r="W3" s="11" t="s">
        <v>15</v>
      </c>
      <c r="X3" s="12" t="s">
        <v>16</v>
      </c>
      <c r="Y3" s="13"/>
      <c r="Z3" s="11" t="s">
        <v>15</v>
      </c>
      <c r="AA3" s="12" t="s">
        <v>16</v>
      </c>
      <c r="AB3" s="13"/>
      <c r="AC3" s="11" t="s">
        <v>15</v>
      </c>
      <c r="AD3" s="12" t="s">
        <v>16</v>
      </c>
      <c r="AE3" s="13"/>
      <c r="AF3" s="11" t="s">
        <v>15</v>
      </c>
      <c r="AG3" s="12" t="s">
        <v>16</v>
      </c>
      <c r="AH3" s="13"/>
      <c r="AI3" s="11" t="s">
        <v>15</v>
      </c>
      <c r="AJ3" s="12" t="s">
        <v>16</v>
      </c>
      <c r="AK3" s="13"/>
      <c r="AL3" s="11" t="s">
        <v>15</v>
      </c>
      <c r="AM3" s="12" t="s">
        <v>16</v>
      </c>
      <c r="AN3" s="13"/>
      <c r="AO3" s="11" t="s">
        <v>15</v>
      </c>
      <c r="AP3" s="12" t="s">
        <v>16</v>
      </c>
      <c r="AQ3" s="13"/>
      <c r="AR3" s="11" t="s">
        <v>15</v>
      </c>
      <c r="AS3" s="12" t="s">
        <v>16</v>
      </c>
      <c r="AT3" s="13"/>
      <c r="AU3" s="11" t="s">
        <v>15</v>
      </c>
      <c r="AV3" s="12" t="s">
        <v>16</v>
      </c>
      <c r="AW3" s="13"/>
      <c r="AX3" s="11" t="s">
        <v>15</v>
      </c>
      <c r="AY3" s="12" t="s">
        <v>16</v>
      </c>
      <c r="AZ3" s="13"/>
      <c r="BA3" s="11" t="s">
        <v>15</v>
      </c>
      <c r="BB3" s="12" t="s">
        <v>16</v>
      </c>
      <c r="BC3" s="13"/>
      <c r="BD3" s="11" t="s">
        <v>15</v>
      </c>
      <c r="BE3" s="12" t="s">
        <v>16</v>
      </c>
      <c r="BF3" s="13"/>
      <c r="BG3" s="11" t="s">
        <v>15</v>
      </c>
      <c r="BH3" s="12" t="s">
        <v>16</v>
      </c>
      <c r="BI3" s="13"/>
      <c r="BJ3" s="11" t="s">
        <v>15</v>
      </c>
      <c r="BK3" s="12" t="s">
        <v>16</v>
      </c>
      <c r="BL3" s="13"/>
      <c r="BM3" s="11" t="s">
        <v>15</v>
      </c>
      <c r="BN3" s="12" t="s">
        <v>16</v>
      </c>
      <c r="BO3" s="13"/>
      <c r="BP3" s="11" t="s">
        <v>15</v>
      </c>
      <c r="BQ3" s="12" t="s">
        <v>16</v>
      </c>
      <c r="BR3" s="13"/>
      <c r="BS3" s="11" t="s">
        <v>15</v>
      </c>
      <c r="BT3" s="12" t="s">
        <v>16</v>
      </c>
      <c r="BU3" s="13"/>
      <c r="BV3" s="11" t="s">
        <v>15</v>
      </c>
      <c r="BW3" s="12" t="s">
        <v>16</v>
      </c>
      <c r="BX3" s="13"/>
      <c r="BY3" s="11" t="s">
        <v>15</v>
      </c>
      <c r="BZ3" s="12" t="s">
        <v>16</v>
      </c>
      <c r="CA3" s="13"/>
      <c r="CB3" s="11" t="s">
        <v>15</v>
      </c>
      <c r="CC3" s="12" t="s">
        <v>16</v>
      </c>
      <c r="CD3" s="13"/>
      <c r="CE3" s="11" t="s">
        <v>15</v>
      </c>
      <c r="CF3" s="12" t="s">
        <v>16</v>
      </c>
      <c r="CG3" s="13"/>
      <c r="CH3" s="11" t="s">
        <v>15</v>
      </c>
      <c r="CI3" s="12" t="s">
        <v>16</v>
      </c>
      <c r="CJ3" s="13"/>
      <c r="CK3" s="11" t="s">
        <v>15</v>
      </c>
      <c r="CL3" s="12" t="s">
        <v>16</v>
      </c>
      <c r="CM3" s="13"/>
      <c r="CN3" s="11" t="s">
        <v>15</v>
      </c>
      <c r="CO3" s="12" t="s">
        <v>16</v>
      </c>
      <c r="CP3" s="13"/>
      <c r="CQ3" s="11" t="s">
        <v>15</v>
      </c>
      <c r="CR3" s="12" t="s">
        <v>16</v>
      </c>
      <c r="CS3" s="13"/>
      <c r="CT3" s="11" t="s">
        <v>15</v>
      </c>
      <c r="CU3" s="12" t="s">
        <v>16</v>
      </c>
      <c r="CV3" s="13"/>
      <c r="CW3" s="11" t="s">
        <v>15</v>
      </c>
      <c r="CX3" s="12" t="s">
        <v>16</v>
      </c>
      <c r="CY3" s="13"/>
      <c r="CZ3" s="11" t="s">
        <v>15</v>
      </c>
      <c r="DA3" s="12" t="s">
        <v>16</v>
      </c>
      <c r="DB3" s="13"/>
      <c r="DC3" s="11" t="s">
        <v>15</v>
      </c>
      <c r="DD3" s="12" t="s">
        <v>16</v>
      </c>
      <c r="DE3" s="13"/>
      <c r="DF3" s="11" t="s">
        <v>15</v>
      </c>
      <c r="DG3" s="12" t="s">
        <v>16</v>
      </c>
      <c r="DH3" s="13"/>
      <c r="DI3" s="11" t="s">
        <v>15</v>
      </c>
      <c r="DJ3" s="12" t="s">
        <v>16</v>
      </c>
      <c r="DK3" s="13"/>
      <c r="DL3" s="11" t="s">
        <v>15</v>
      </c>
      <c r="DM3" s="12" t="s">
        <v>16</v>
      </c>
      <c r="DN3" s="13"/>
      <c r="DO3" s="11" t="s">
        <v>15</v>
      </c>
      <c r="DP3" s="12" t="s">
        <v>16</v>
      </c>
      <c r="DQ3" s="13"/>
      <c r="DR3" s="11" t="s">
        <v>15</v>
      </c>
      <c r="DS3" s="12" t="s">
        <v>16</v>
      </c>
      <c r="DT3" s="13"/>
      <c r="DU3" s="11" t="s">
        <v>15</v>
      </c>
      <c r="DV3" s="12" t="s">
        <v>16</v>
      </c>
      <c r="DW3" s="13"/>
      <c r="DX3" s="11" t="s">
        <v>15</v>
      </c>
      <c r="DY3" s="12" t="s">
        <v>16</v>
      </c>
      <c r="DZ3" s="13"/>
      <c r="EA3" s="11" t="s">
        <v>15</v>
      </c>
      <c r="EB3" s="12" t="s">
        <v>16</v>
      </c>
      <c r="EC3" s="13"/>
      <c r="ED3" s="11" t="s">
        <v>15</v>
      </c>
      <c r="EE3" s="12" t="s">
        <v>16</v>
      </c>
      <c r="EF3" s="13"/>
      <c r="EG3" s="11" t="s">
        <v>15</v>
      </c>
      <c r="EH3" s="12" t="s">
        <v>16</v>
      </c>
      <c r="EI3" s="13"/>
      <c r="EJ3" s="11" t="s">
        <v>15</v>
      </c>
      <c r="EK3" s="12" t="s">
        <v>16</v>
      </c>
      <c r="EL3" s="13"/>
      <c r="EM3" s="11" t="s">
        <v>15</v>
      </c>
      <c r="EN3" s="12" t="s">
        <v>16</v>
      </c>
      <c r="EO3" s="13"/>
      <c r="EP3" s="11" t="s">
        <v>15</v>
      </c>
      <c r="EQ3" s="12" t="s">
        <v>16</v>
      </c>
      <c r="ER3" s="13"/>
      <c r="ES3" s="11" t="s">
        <v>15</v>
      </c>
      <c r="ET3" s="12" t="s">
        <v>16</v>
      </c>
      <c r="EU3" s="13"/>
      <c r="EV3" s="11" t="s">
        <v>15</v>
      </c>
      <c r="EW3" s="12" t="s">
        <v>16</v>
      </c>
      <c r="EX3" s="13"/>
      <c r="EY3" s="11" t="s">
        <v>15</v>
      </c>
      <c r="EZ3" s="12" t="s">
        <v>16</v>
      </c>
      <c r="FA3" s="13"/>
      <c r="FB3" s="11" t="s">
        <v>15</v>
      </c>
      <c r="FC3" s="12" t="s">
        <v>16</v>
      </c>
      <c r="FD3" s="13"/>
      <c r="FE3" s="11" t="s">
        <v>15</v>
      </c>
      <c r="FF3" s="12" t="s">
        <v>16</v>
      </c>
      <c r="FG3" s="13"/>
      <c r="FH3" s="11" t="s">
        <v>15</v>
      </c>
      <c r="FI3" s="12" t="s">
        <v>16</v>
      </c>
      <c r="FJ3" s="13"/>
      <c r="FK3" s="11" t="s">
        <v>15</v>
      </c>
      <c r="FL3" s="12" t="s">
        <v>16</v>
      </c>
      <c r="FM3" s="13"/>
    </row>
    <row r="4">
      <c r="A4" s="14"/>
      <c r="B4" s="11" t="s">
        <v>17</v>
      </c>
      <c r="C4" s="11" t="s">
        <v>18</v>
      </c>
      <c r="D4" s="11" t="s">
        <v>19</v>
      </c>
      <c r="E4" s="11" t="s">
        <v>17</v>
      </c>
      <c r="F4" s="11" t="s">
        <v>18</v>
      </c>
      <c r="G4" s="11" t="s">
        <v>19</v>
      </c>
      <c r="H4" s="11" t="s">
        <v>17</v>
      </c>
      <c r="I4" s="11" t="s">
        <v>18</v>
      </c>
      <c r="J4" s="11" t="s">
        <v>19</v>
      </c>
      <c r="K4" s="11" t="s">
        <v>17</v>
      </c>
      <c r="L4" s="11" t="s">
        <v>18</v>
      </c>
      <c r="M4" s="11" t="s">
        <v>19</v>
      </c>
      <c r="N4" s="11" t="s">
        <v>17</v>
      </c>
      <c r="O4" s="11" t="s">
        <v>18</v>
      </c>
      <c r="P4" s="11" t="s">
        <v>19</v>
      </c>
      <c r="Q4" s="11" t="s">
        <v>17</v>
      </c>
      <c r="R4" s="11" t="s">
        <v>18</v>
      </c>
      <c r="S4" s="11" t="s">
        <v>19</v>
      </c>
      <c r="T4" s="11" t="s">
        <v>17</v>
      </c>
      <c r="U4" s="11" t="s">
        <v>18</v>
      </c>
      <c r="V4" s="11" t="s">
        <v>19</v>
      </c>
      <c r="W4" s="11" t="s">
        <v>17</v>
      </c>
      <c r="X4" s="11" t="s">
        <v>18</v>
      </c>
      <c r="Y4" s="11" t="s">
        <v>19</v>
      </c>
      <c r="Z4" s="11" t="s">
        <v>17</v>
      </c>
      <c r="AA4" s="11" t="s">
        <v>18</v>
      </c>
      <c r="AB4" s="11" t="s">
        <v>19</v>
      </c>
      <c r="AC4" s="11" t="s">
        <v>17</v>
      </c>
      <c r="AD4" s="11" t="s">
        <v>18</v>
      </c>
      <c r="AE4" s="11" t="s">
        <v>19</v>
      </c>
      <c r="AF4" s="11" t="s">
        <v>17</v>
      </c>
      <c r="AG4" s="11" t="s">
        <v>18</v>
      </c>
      <c r="AH4" s="11" t="s">
        <v>19</v>
      </c>
      <c r="AI4" s="11" t="s">
        <v>17</v>
      </c>
      <c r="AJ4" s="11" t="s">
        <v>18</v>
      </c>
      <c r="AK4" s="11" t="s">
        <v>19</v>
      </c>
      <c r="AL4" s="11" t="s">
        <v>17</v>
      </c>
      <c r="AM4" s="11" t="s">
        <v>18</v>
      </c>
      <c r="AN4" s="11" t="s">
        <v>19</v>
      </c>
      <c r="AO4" s="11" t="s">
        <v>17</v>
      </c>
      <c r="AP4" s="11" t="s">
        <v>18</v>
      </c>
      <c r="AQ4" s="11" t="s">
        <v>19</v>
      </c>
      <c r="AR4" s="11" t="s">
        <v>17</v>
      </c>
      <c r="AS4" s="11" t="s">
        <v>18</v>
      </c>
      <c r="AT4" s="11" t="s">
        <v>19</v>
      </c>
      <c r="AU4" s="11" t="s">
        <v>17</v>
      </c>
      <c r="AV4" s="11" t="s">
        <v>18</v>
      </c>
      <c r="AW4" s="11" t="s">
        <v>19</v>
      </c>
      <c r="AX4" s="11" t="s">
        <v>17</v>
      </c>
      <c r="AY4" s="11" t="s">
        <v>18</v>
      </c>
      <c r="AZ4" s="11" t="s">
        <v>19</v>
      </c>
      <c r="BA4" s="11" t="s">
        <v>17</v>
      </c>
      <c r="BB4" s="11" t="s">
        <v>18</v>
      </c>
      <c r="BC4" s="11" t="s">
        <v>19</v>
      </c>
      <c r="BD4" s="11" t="s">
        <v>17</v>
      </c>
      <c r="BE4" s="11" t="s">
        <v>18</v>
      </c>
      <c r="BF4" s="11" t="s">
        <v>19</v>
      </c>
      <c r="BG4" s="11" t="s">
        <v>17</v>
      </c>
      <c r="BH4" s="11" t="s">
        <v>18</v>
      </c>
      <c r="BI4" s="11" t="s">
        <v>19</v>
      </c>
      <c r="BJ4" s="11" t="s">
        <v>17</v>
      </c>
      <c r="BK4" s="11" t="s">
        <v>18</v>
      </c>
      <c r="BL4" s="11" t="s">
        <v>19</v>
      </c>
      <c r="BM4" s="11" t="s">
        <v>17</v>
      </c>
      <c r="BN4" s="11" t="s">
        <v>18</v>
      </c>
      <c r="BO4" s="11" t="s">
        <v>19</v>
      </c>
      <c r="BP4" s="11" t="s">
        <v>17</v>
      </c>
      <c r="BQ4" s="11" t="s">
        <v>18</v>
      </c>
      <c r="BR4" s="11" t="s">
        <v>19</v>
      </c>
      <c r="BS4" s="11" t="s">
        <v>17</v>
      </c>
      <c r="BT4" s="11" t="s">
        <v>18</v>
      </c>
      <c r="BU4" s="11" t="s">
        <v>19</v>
      </c>
      <c r="BV4" s="11" t="s">
        <v>17</v>
      </c>
      <c r="BW4" s="11" t="s">
        <v>18</v>
      </c>
      <c r="BX4" s="11" t="s">
        <v>19</v>
      </c>
      <c r="BY4" s="11" t="s">
        <v>17</v>
      </c>
      <c r="BZ4" s="11" t="s">
        <v>18</v>
      </c>
      <c r="CA4" s="11" t="s">
        <v>19</v>
      </c>
      <c r="CB4" s="11" t="s">
        <v>17</v>
      </c>
      <c r="CC4" s="11" t="s">
        <v>18</v>
      </c>
      <c r="CD4" s="11" t="s">
        <v>19</v>
      </c>
      <c r="CE4" s="11" t="s">
        <v>17</v>
      </c>
      <c r="CF4" s="11" t="s">
        <v>18</v>
      </c>
      <c r="CG4" s="11" t="s">
        <v>19</v>
      </c>
      <c r="CH4" s="11" t="s">
        <v>17</v>
      </c>
      <c r="CI4" s="11" t="s">
        <v>18</v>
      </c>
      <c r="CJ4" s="11" t="s">
        <v>19</v>
      </c>
      <c r="CK4" s="11" t="s">
        <v>17</v>
      </c>
      <c r="CL4" s="11" t="s">
        <v>18</v>
      </c>
      <c r="CM4" s="11" t="s">
        <v>19</v>
      </c>
      <c r="CN4" s="11" t="s">
        <v>17</v>
      </c>
      <c r="CO4" s="11" t="s">
        <v>18</v>
      </c>
      <c r="CP4" s="11" t="s">
        <v>19</v>
      </c>
      <c r="CQ4" s="11" t="s">
        <v>17</v>
      </c>
      <c r="CR4" s="11" t="s">
        <v>18</v>
      </c>
      <c r="CS4" s="11" t="s">
        <v>19</v>
      </c>
      <c r="CT4" s="11" t="s">
        <v>17</v>
      </c>
      <c r="CU4" s="11" t="s">
        <v>18</v>
      </c>
      <c r="CV4" s="11" t="s">
        <v>19</v>
      </c>
      <c r="CW4" s="11" t="s">
        <v>17</v>
      </c>
      <c r="CX4" s="11" t="s">
        <v>18</v>
      </c>
      <c r="CY4" s="11" t="s">
        <v>19</v>
      </c>
      <c r="CZ4" s="11" t="s">
        <v>17</v>
      </c>
      <c r="DA4" s="11" t="s">
        <v>18</v>
      </c>
      <c r="DB4" s="11" t="s">
        <v>19</v>
      </c>
      <c r="DC4" s="11" t="s">
        <v>17</v>
      </c>
      <c r="DD4" s="11" t="s">
        <v>18</v>
      </c>
      <c r="DE4" s="11" t="s">
        <v>19</v>
      </c>
      <c r="DF4" s="11" t="s">
        <v>17</v>
      </c>
      <c r="DG4" s="11" t="s">
        <v>18</v>
      </c>
      <c r="DH4" s="11" t="s">
        <v>19</v>
      </c>
      <c r="DI4" s="11" t="s">
        <v>17</v>
      </c>
      <c r="DJ4" s="11" t="s">
        <v>18</v>
      </c>
      <c r="DK4" s="11" t="s">
        <v>19</v>
      </c>
      <c r="DL4" s="11" t="s">
        <v>17</v>
      </c>
      <c r="DM4" s="11" t="s">
        <v>18</v>
      </c>
      <c r="DN4" s="11" t="s">
        <v>19</v>
      </c>
      <c r="DO4" s="11" t="s">
        <v>17</v>
      </c>
      <c r="DP4" s="11" t="s">
        <v>18</v>
      </c>
      <c r="DQ4" s="11" t="s">
        <v>19</v>
      </c>
      <c r="DR4" s="11" t="s">
        <v>17</v>
      </c>
      <c r="DS4" s="11" t="s">
        <v>18</v>
      </c>
      <c r="DT4" s="11" t="s">
        <v>19</v>
      </c>
      <c r="DU4" s="11" t="s">
        <v>17</v>
      </c>
      <c r="DV4" s="11" t="s">
        <v>18</v>
      </c>
      <c r="DW4" s="11" t="s">
        <v>19</v>
      </c>
      <c r="DX4" s="11" t="s">
        <v>17</v>
      </c>
      <c r="DY4" s="11" t="s">
        <v>18</v>
      </c>
      <c r="DZ4" s="11" t="s">
        <v>19</v>
      </c>
      <c r="EA4" s="11" t="s">
        <v>17</v>
      </c>
      <c r="EB4" s="11" t="s">
        <v>18</v>
      </c>
      <c r="EC4" s="11" t="s">
        <v>19</v>
      </c>
      <c r="ED4" s="11" t="s">
        <v>17</v>
      </c>
      <c r="EE4" s="11" t="s">
        <v>18</v>
      </c>
      <c r="EF4" s="11" t="s">
        <v>19</v>
      </c>
      <c r="EG4" s="11" t="s">
        <v>17</v>
      </c>
      <c r="EH4" s="11" t="s">
        <v>18</v>
      </c>
      <c r="EI4" s="11" t="s">
        <v>19</v>
      </c>
      <c r="EJ4" s="11" t="s">
        <v>17</v>
      </c>
      <c r="EK4" s="11" t="s">
        <v>18</v>
      </c>
      <c r="EL4" s="11" t="s">
        <v>19</v>
      </c>
      <c r="EM4" s="11" t="s">
        <v>17</v>
      </c>
      <c r="EN4" s="11" t="s">
        <v>18</v>
      </c>
      <c r="EO4" s="11" t="s">
        <v>19</v>
      </c>
      <c r="EP4" s="11" t="s">
        <v>17</v>
      </c>
      <c r="EQ4" s="11" t="s">
        <v>18</v>
      </c>
      <c r="ER4" s="11" t="s">
        <v>19</v>
      </c>
      <c r="ES4" s="11" t="s">
        <v>17</v>
      </c>
      <c r="ET4" s="11" t="s">
        <v>18</v>
      </c>
      <c r="EU4" s="11" t="s">
        <v>19</v>
      </c>
      <c r="EV4" s="11" t="s">
        <v>17</v>
      </c>
      <c r="EW4" s="11" t="s">
        <v>18</v>
      </c>
      <c r="EX4" s="11" t="s">
        <v>19</v>
      </c>
      <c r="EY4" s="11" t="s">
        <v>17</v>
      </c>
      <c r="EZ4" s="11" t="s">
        <v>18</v>
      </c>
      <c r="FA4" s="11" t="s">
        <v>19</v>
      </c>
      <c r="FB4" s="11" t="s">
        <v>17</v>
      </c>
      <c r="FC4" s="11" t="s">
        <v>18</v>
      </c>
      <c r="FD4" s="11" t="s">
        <v>19</v>
      </c>
      <c r="FE4" s="11" t="s">
        <v>17</v>
      </c>
      <c r="FF4" s="11" t="s">
        <v>18</v>
      </c>
      <c r="FG4" s="11" t="s">
        <v>19</v>
      </c>
      <c r="FH4" s="11" t="s">
        <v>17</v>
      </c>
      <c r="FI4" s="11" t="s">
        <v>18</v>
      </c>
      <c r="FJ4" s="11" t="s">
        <v>19</v>
      </c>
      <c r="FK4" s="11" t="s">
        <v>17</v>
      </c>
      <c r="FL4" s="11" t="s">
        <v>18</v>
      </c>
      <c r="FM4" s="11" t="s">
        <v>19</v>
      </c>
    </row>
    <row r="5">
      <c r="A5" s="15" t="s">
        <v>20</v>
      </c>
      <c r="B5" s="16">
        <v>3613.0</v>
      </c>
      <c r="C5" s="17">
        <v>126.8</v>
      </c>
      <c r="D5" s="18">
        <f>+7.1</f>
        <v>7.1</v>
      </c>
      <c r="E5" s="16">
        <v>2189.0</v>
      </c>
      <c r="F5" s="17">
        <v>76.8</v>
      </c>
      <c r="G5" s="17">
        <v>-34.1</v>
      </c>
      <c r="H5" s="16">
        <v>1913.0</v>
      </c>
      <c r="I5" s="17">
        <v>67.2</v>
      </c>
      <c r="J5" s="17">
        <v>-35.9</v>
      </c>
      <c r="K5" s="16">
        <v>3005.0</v>
      </c>
      <c r="L5" s="17">
        <v>105.5</v>
      </c>
      <c r="M5" s="18">
        <f>+14</f>
        <v>14</v>
      </c>
      <c r="N5" s="16">
        <v>3348.0</v>
      </c>
      <c r="O5" s="17">
        <v>117.5</v>
      </c>
      <c r="P5" s="18">
        <f>+7.7</f>
        <v>7.7</v>
      </c>
      <c r="Q5" s="16">
        <v>3381.0</v>
      </c>
      <c r="R5" s="17">
        <v>118.7</v>
      </c>
      <c r="S5" s="18">
        <f>+2.2</f>
        <v>2.2</v>
      </c>
      <c r="T5" s="16">
        <v>4135.0</v>
      </c>
      <c r="U5" s="17">
        <v>145.1</v>
      </c>
      <c r="V5" s="18">
        <f>+30.1</f>
        <v>30.1</v>
      </c>
      <c r="W5" s="16">
        <v>3291.0</v>
      </c>
      <c r="X5" s="17">
        <v>115.5</v>
      </c>
      <c r="Y5" s="18">
        <f>+3.9</f>
        <v>3.9</v>
      </c>
      <c r="Z5" s="16">
        <v>3386.0</v>
      </c>
      <c r="AA5" s="17">
        <v>118.9</v>
      </c>
      <c r="AB5" s="18">
        <f>+6.8</f>
        <v>6.8</v>
      </c>
      <c r="AC5" s="16">
        <v>4003.0</v>
      </c>
      <c r="AD5" s="17">
        <v>140.5</v>
      </c>
      <c r="AE5" s="18">
        <f>+13.6</f>
        <v>13.6</v>
      </c>
      <c r="AF5" s="16">
        <v>2910.0</v>
      </c>
      <c r="AG5" s="17">
        <v>102.1</v>
      </c>
      <c r="AH5" s="17">
        <v>-8.3</v>
      </c>
      <c r="AI5" s="16">
        <v>3639.0</v>
      </c>
      <c r="AJ5" s="17">
        <v>127.7</v>
      </c>
      <c r="AK5" s="17">
        <v>-4.9</v>
      </c>
      <c r="AL5" s="16">
        <v>4427.0</v>
      </c>
      <c r="AM5" s="17">
        <v>155.4</v>
      </c>
      <c r="AN5" s="18">
        <f>+22.5</f>
        <v>22.5</v>
      </c>
      <c r="AO5" s="16">
        <v>5005.0</v>
      </c>
      <c r="AP5" s="17">
        <v>175.7</v>
      </c>
      <c r="AQ5" s="18">
        <f>+128.6</f>
        <v>128.6</v>
      </c>
      <c r="AR5" s="16">
        <v>5072.0</v>
      </c>
      <c r="AS5" s="17">
        <v>178.0</v>
      </c>
      <c r="AT5" s="18">
        <f>+165.1</f>
        <v>165.1</v>
      </c>
      <c r="AU5" s="16">
        <v>5262.0</v>
      </c>
      <c r="AV5" s="17">
        <v>184.7</v>
      </c>
      <c r="AW5" s="18">
        <f>+75.1</f>
        <v>75.1</v>
      </c>
      <c r="AX5" s="16">
        <v>5083.0</v>
      </c>
      <c r="AY5" s="17">
        <v>178.4</v>
      </c>
      <c r="AZ5" s="18">
        <f>+51.8</f>
        <v>51.8</v>
      </c>
      <c r="BA5" s="16">
        <v>5560.0</v>
      </c>
      <c r="BB5" s="17">
        <v>195.2</v>
      </c>
      <c r="BC5" s="18">
        <f>+64.4</f>
        <v>64.4</v>
      </c>
      <c r="BD5" s="16">
        <v>5000.0</v>
      </c>
      <c r="BE5" s="17">
        <v>175.5</v>
      </c>
      <c r="BF5" s="18">
        <f>+20.9</f>
        <v>20.9</v>
      </c>
      <c r="BG5" s="16">
        <v>5174.0</v>
      </c>
      <c r="BH5" s="17">
        <v>181.6</v>
      </c>
      <c r="BI5" s="18">
        <f>+57.2</f>
        <v>57.2</v>
      </c>
      <c r="BJ5" s="16">
        <v>4318.0</v>
      </c>
      <c r="BK5" s="17">
        <v>151.5</v>
      </c>
      <c r="BL5" s="18">
        <f>+27.5</f>
        <v>27.5</v>
      </c>
      <c r="BM5" s="16">
        <v>5102.0</v>
      </c>
      <c r="BN5" s="17">
        <v>179.1</v>
      </c>
      <c r="BO5" s="18">
        <f>+27.5</f>
        <v>27.5</v>
      </c>
      <c r="BP5" s="16">
        <v>4678.0</v>
      </c>
      <c r="BQ5" s="17">
        <v>164.2</v>
      </c>
      <c r="BR5" s="18">
        <f>+60.8</f>
        <v>60.8</v>
      </c>
      <c r="BS5" s="16">
        <v>5439.0</v>
      </c>
      <c r="BT5" s="17">
        <v>190.9</v>
      </c>
      <c r="BU5" s="18">
        <f>+49.5</f>
        <v>49.5</v>
      </c>
      <c r="BV5" s="16">
        <v>5437.0</v>
      </c>
      <c r="BW5" s="17">
        <v>190.8</v>
      </c>
      <c r="BX5" s="18">
        <f>+22.8</f>
        <v>22.8</v>
      </c>
      <c r="BY5" s="16">
        <v>4817.0</v>
      </c>
      <c r="BZ5" s="17">
        <v>169.1</v>
      </c>
      <c r="CA5" s="17">
        <v>-3.7</v>
      </c>
      <c r="CB5" s="16">
        <v>4228.0</v>
      </c>
      <c r="CC5" s="17">
        <v>148.4</v>
      </c>
      <c r="CD5" s="17">
        <v>-16.6</v>
      </c>
      <c r="CE5" s="16">
        <v>3748.0</v>
      </c>
      <c r="CF5" s="17">
        <v>131.6</v>
      </c>
      <c r="CG5" s="17">
        <v>-28.8</v>
      </c>
      <c r="CH5" s="16">
        <v>3999.0</v>
      </c>
      <c r="CI5" s="17">
        <v>140.4</v>
      </c>
      <c r="CJ5" s="17">
        <v>-21.3</v>
      </c>
      <c r="CK5" s="16">
        <v>4276.0</v>
      </c>
      <c r="CL5" s="17">
        <v>150.1</v>
      </c>
      <c r="CM5" s="17">
        <v>-23.1</v>
      </c>
      <c r="CN5" s="16">
        <v>3746.0</v>
      </c>
      <c r="CO5" s="17">
        <v>131.5</v>
      </c>
      <c r="CP5" s="17">
        <v>-25.1</v>
      </c>
      <c r="CQ5" s="16">
        <v>3911.0</v>
      </c>
      <c r="CR5" s="17">
        <v>137.3</v>
      </c>
      <c r="CS5" s="17">
        <v>-24.4</v>
      </c>
      <c r="CT5" s="16">
        <v>3546.0</v>
      </c>
      <c r="CU5" s="17">
        <v>124.5</v>
      </c>
      <c r="CV5" s="17">
        <v>-17.9</v>
      </c>
      <c r="CW5" s="16">
        <v>4511.0</v>
      </c>
      <c r="CX5" s="17">
        <v>158.3</v>
      </c>
      <c r="CY5" s="17">
        <v>-11.6</v>
      </c>
      <c r="CZ5" s="16">
        <v>4481.0</v>
      </c>
      <c r="DA5" s="17">
        <v>157.3</v>
      </c>
      <c r="DB5" s="17">
        <v>-4.2</v>
      </c>
      <c r="DC5" s="16">
        <v>4650.0</v>
      </c>
      <c r="DD5" s="17">
        <v>163.2</v>
      </c>
      <c r="DE5" s="17">
        <v>-14.5</v>
      </c>
      <c r="DF5" s="16">
        <v>4461.0</v>
      </c>
      <c r="DG5" s="17">
        <v>156.6</v>
      </c>
      <c r="DH5" s="17">
        <v>-18.0</v>
      </c>
      <c r="DI5" s="16">
        <v>4170.0</v>
      </c>
      <c r="DJ5" s="17">
        <v>146.4</v>
      </c>
      <c r="DK5" s="17">
        <v>-13.4</v>
      </c>
      <c r="DL5" s="16">
        <v>4083.0</v>
      </c>
      <c r="DM5" s="17">
        <v>143.3</v>
      </c>
      <c r="DN5" s="17">
        <v>-3.4</v>
      </c>
      <c r="DO5" s="16">
        <v>3685.0</v>
      </c>
      <c r="DP5" s="17">
        <v>129.3</v>
      </c>
      <c r="DQ5" s="17">
        <v>-1.7</v>
      </c>
      <c r="DR5" s="16">
        <v>3870.0</v>
      </c>
      <c r="DS5" s="17">
        <v>135.8</v>
      </c>
      <c r="DT5" s="17">
        <v>-3.2</v>
      </c>
      <c r="DU5" s="16">
        <v>4569.0</v>
      </c>
      <c r="DV5" s="17">
        <v>160.4</v>
      </c>
      <c r="DW5" s="18">
        <f>+6.9</f>
        <v>6.9</v>
      </c>
      <c r="DX5" s="16">
        <v>4081.0</v>
      </c>
      <c r="DY5" s="17">
        <v>143.2</v>
      </c>
      <c r="DZ5" s="18">
        <f>+8.9</f>
        <v>8.9</v>
      </c>
      <c r="EA5" s="16">
        <v>4595.0</v>
      </c>
      <c r="EB5" s="17">
        <v>161.3</v>
      </c>
      <c r="EC5" s="18">
        <f>+17.5</f>
        <v>17.5</v>
      </c>
      <c r="ED5" s="16">
        <v>3913.0</v>
      </c>
      <c r="EE5" s="17">
        <v>137.3</v>
      </c>
      <c r="EF5" s="18">
        <f>+10.3</f>
        <v>10.3</v>
      </c>
      <c r="EG5" s="16">
        <v>4937.0</v>
      </c>
      <c r="EH5" s="17">
        <v>173.3</v>
      </c>
      <c r="EI5" s="18">
        <f>+9.4</f>
        <v>9.4</v>
      </c>
      <c r="EJ5" s="16">
        <v>4641.0</v>
      </c>
      <c r="EK5" s="17">
        <v>162.9</v>
      </c>
      <c r="EL5" s="18">
        <f>+3.6</f>
        <v>3.6</v>
      </c>
      <c r="EM5" s="16">
        <v>5316.0</v>
      </c>
      <c r="EN5" s="17">
        <v>186.6</v>
      </c>
      <c r="EO5" s="18">
        <f>+14.3</f>
        <v>14.3</v>
      </c>
      <c r="EP5" s="16">
        <v>5849.0</v>
      </c>
      <c r="EQ5" s="17">
        <v>205.3</v>
      </c>
      <c r="ER5" s="18">
        <f>+31.1</f>
        <v>31.1</v>
      </c>
      <c r="ES5" s="16">
        <v>5179.0</v>
      </c>
      <c r="ET5" s="17">
        <v>181.8</v>
      </c>
      <c r="EU5" s="18">
        <f>+24.2</f>
        <v>24.2</v>
      </c>
      <c r="EV5" s="16">
        <v>5233.0</v>
      </c>
      <c r="EW5" s="17">
        <v>183.7</v>
      </c>
      <c r="EX5" s="18">
        <f>+28.2</f>
        <v>28.2</v>
      </c>
      <c r="EY5" s="16">
        <v>4442.0</v>
      </c>
      <c r="EZ5" s="17">
        <v>155.9</v>
      </c>
      <c r="FA5" s="18">
        <f>+20.5</f>
        <v>20.5</v>
      </c>
      <c r="FB5" s="16">
        <v>4875.0</v>
      </c>
      <c r="FC5" s="17">
        <v>171.1</v>
      </c>
      <c r="FD5" s="18">
        <f>+26</f>
        <v>26</v>
      </c>
      <c r="FE5" s="16">
        <v>5488.0</v>
      </c>
      <c r="FF5" s="17">
        <v>192.6</v>
      </c>
      <c r="FG5" s="18">
        <f>+20.1</f>
        <v>20.1</v>
      </c>
      <c r="FH5" s="16">
        <v>4895.0</v>
      </c>
      <c r="FI5" s="17">
        <v>171.8</v>
      </c>
      <c r="FJ5" s="18">
        <f>+19.9</f>
        <v>19.9</v>
      </c>
      <c r="FK5" s="16">
        <v>5142.0</v>
      </c>
      <c r="FL5" s="17">
        <v>180.5</v>
      </c>
      <c r="FM5" s="18">
        <f>+11.9</f>
        <v>11.9</v>
      </c>
    </row>
  </sheetData>
  <mergeCells count="118">
    <mergeCell ref="EV2:EX2"/>
    <mergeCell ref="EY2:FA2"/>
    <mergeCell ref="DF1:EO1"/>
    <mergeCell ref="EP1:FM1"/>
    <mergeCell ref="CK2:CM2"/>
    <mergeCell ref="CN2:CP2"/>
    <mergeCell ref="CQ2:CS2"/>
    <mergeCell ref="CT2:CV2"/>
    <mergeCell ref="CW2:CY2"/>
    <mergeCell ref="DF2:DH2"/>
    <mergeCell ref="DI2:DK2"/>
    <mergeCell ref="DL2:DN2"/>
    <mergeCell ref="DO2:DQ2"/>
    <mergeCell ref="DR2:DT2"/>
    <mergeCell ref="DU2:DW2"/>
    <mergeCell ref="DX2:DZ2"/>
    <mergeCell ref="EA2:EC2"/>
    <mergeCell ref="ED2:EF2"/>
    <mergeCell ref="EG2:EI2"/>
    <mergeCell ref="EJ2:EL2"/>
    <mergeCell ref="EM2:EO2"/>
    <mergeCell ref="EP2:ER2"/>
    <mergeCell ref="ES2:EU2"/>
    <mergeCell ref="AC2:AE2"/>
    <mergeCell ref="AF2:AH2"/>
    <mergeCell ref="H2:J2"/>
    <mergeCell ref="K2:M2"/>
    <mergeCell ref="N2:P2"/>
    <mergeCell ref="Q2:S2"/>
    <mergeCell ref="T2:V2"/>
    <mergeCell ref="W2:Y2"/>
    <mergeCell ref="Z2:AB2"/>
    <mergeCell ref="BD2:BF2"/>
    <mergeCell ref="BG2:BI2"/>
    <mergeCell ref="AI2:AK2"/>
    <mergeCell ref="AL2:AN2"/>
    <mergeCell ref="AO2:AQ2"/>
    <mergeCell ref="AR2:AT2"/>
    <mergeCell ref="AU2:AW2"/>
    <mergeCell ref="AX2:AZ2"/>
    <mergeCell ref="BA2:BC2"/>
    <mergeCell ref="CE2:CG2"/>
    <mergeCell ref="CH2:CJ2"/>
    <mergeCell ref="BJ2:BL2"/>
    <mergeCell ref="BM2:BO2"/>
    <mergeCell ref="BP2:BR2"/>
    <mergeCell ref="BS2:BU2"/>
    <mergeCell ref="BV2:BX2"/>
    <mergeCell ref="BY2:CA2"/>
    <mergeCell ref="CB2:CD2"/>
    <mergeCell ref="CZ2:DB2"/>
    <mergeCell ref="DC2:DE2"/>
    <mergeCell ref="B1:AK1"/>
    <mergeCell ref="B2:D2"/>
    <mergeCell ref="E2:G2"/>
    <mergeCell ref="FI3:FJ3"/>
    <mergeCell ref="FL3:FM3"/>
    <mergeCell ref="EN3:EO3"/>
    <mergeCell ref="EQ3:ER3"/>
    <mergeCell ref="ET3:EU3"/>
    <mergeCell ref="EW3:EX3"/>
    <mergeCell ref="EZ3:FA3"/>
    <mergeCell ref="FC3:FD3"/>
    <mergeCell ref="FF3:FG3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G3:AH3"/>
    <mergeCell ref="AJ3:AK3"/>
    <mergeCell ref="AM3:AN3"/>
    <mergeCell ref="AP3:AQ3"/>
    <mergeCell ref="AS3:AT3"/>
    <mergeCell ref="AV3:AW3"/>
    <mergeCell ref="AY3:AZ3"/>
    <mergeCell ref="BB3:BC3"/>
    <mergeCell ref="BE3:BF3"/>
    <mergeCell ref="BH3:BI3"/>
    <mergeCell ref="BK3:BL3"/>
    <mergeCell ref="BN3:BO3"/>
    <mergeCell ref="BQ3:BR3"/>
    <mergeCell ref="BT3:BU3"/>
    <mergeCell ref="BW3:BX3"/>
    <mergeCell ref="BZ3:CA3"/>
    <mergeCell ref="CC3:CD3"/>
    <mergeCell ref="CF3:CG3"/>
    <mergeCell ref="CI3:CJ3"/>
    <mergeCell ref="CL3:CM3"/>
    <mergeCell ref="CO3:CP3"/>
    <mergeCell ref="CR3:CS3"/>
    <mergeCell ref="CU3:CV3"/>
    <mergeCell ref="CX3:CY3"/>
    <mergeCell ref="DA3:DB3"/>
    <mergeCell ref="DD3:DE3"/>
    <mergeCell ref="DG3:DH3"/>
    <mergeCell ref="DJ3:DK3"/>
    <mergeCell ref="DM3:DN3"/>
    <mergeCell ref="DP3:DQ3"/>
    <mergeCell ref="DS3:DT3"/>
    <mergeCell ref="DV3:DW3"/>
    <mergeCell ref="DY3:DZ3"/>
    <mergeCell ref="EB3:EC3"/>
    <mergeCell ref="EE3:EF3"/>
    <mergeCell ref="EH3:EI3"/>
    <mergeCell ref="EK3:EL3"/>
    <mergeCell ref="AL1:BU1"/>
    <mergeCell ref="BV1:DE1"/>
    <mergeCell ref="FB2:FD2"/>
    <mergeCell ref="FE2:FG2"/>
    <mergeCell ref="FH2:FJ2"/>
    <mergeCell ref="FK2:FM2"/>
    <mergeCell ref="A3:A4"/>
  </mergeCells>
  <drawing r:id="rId1"/>
</worksheet>
</file>
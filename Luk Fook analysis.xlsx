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kfook" sheetId="1" r:id="rId5"/>
  </sheets>
  <definedNames/>
  <calcPr/>
</workbook>
</file>

<file path=xl/sharedStrings.xml><?xml version="1.0" encoding="utf-8"?>
<sst xmlns="http://schemas.openxmlformats.org/spreadsheetml/2006/main" count="53" uniqueCount="43">
  <si>
    <t>LukFok (Hong Kong, Macao &amp; Overseas)</t>
  </si>
  <si>
    <t>Half year</t>
  </si>
  <si>
    <t>1H FY2022</t>
  </si>
  <si>
    <t>1H FY2023</t>
  </si>
  <si>
    <t>1H FY2024</t>
  </si>
  <si>
    <t>1H FY2025</t>
  </si>
  <si>
    <t>SSS</t>
  </si>
  <si>
    <t>Full year</t>
  </si>
  <si>
    <t>FY2022/23</t>
  </si>
  <si>
    <t>FY2023/24</t>
  </si>
  <si>
    <t>FY2024/25</t>
  </si>
  <si>
    <t>FY2025/26</t>
  </si>
  <si>
    <t>1Q” or the“Quarter”, covers the period from 1 April to 30 June</t>
  </si>
  <si>
    <t>2Q” or the“Quarter”, covers the period from 1 July to 30 September</t>
  </si>
  <si>
    <t>3Q” or the“Quarter”, covers the period from 1 October to 31 Decembe</t>
  </si>
  <si>
    <t>4Q” or the“Quarter”, covers the period from 1 January to 31 March</t>
  </si>
  <si>
    <t>Overseas</t>
  </si>
  <si>
    <t>1 January to 31 March 2024</t>
  </si>
  <si>
    <t>1 July to 30 September</t>
  </si>
  <si>
    <t>FY2025 1 January to 31 March 2025</t>
  </si>
  <si>
    <t>FY2026</t>
  </si>
  <si>
    <t>FY2027</t>
  </si>
  <si>
    <t>Quarter</t>
  </si>
  <si>
    <t>1Q2022</t>
  </si>
  <si>
    <t>2Q2022</t>
  </si>
  <si>
    <t>3Q2022</t>
  </si>
  <si>
    <t>4Q2022</t>
  </si>
  <si>
    <t>1Q2023</t>
  </si>
  <si>
    <t>2Q2023</t>
  </si>
  <si>
    <t>3Q2023</t>
  </si>
  <si>
    <t>4Q2023</t>
  </si>
  <si>
    <t>1Q2024</t>
  </si>
  <si>
    <t>2Q2024</t>
  </si>
  <si>
    <t>3Q2024</t>
  </si>
  <si>
    <t>4Q2024</t>
  </si>
  <si>
    <t>1Q2025</t>
  </si>
  <si>
    <t>2Q2025</t>
  </si>
  <si>
    <t>3Q2025</t>
  </si>
  <si>
    <t>4Q2025</t>
  </si>
  <si>
    <t>1Q2026</t>
  </si>
  <si>
    <t>2Q2026</t>
  </si>
  <si>
    <t>NA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</si>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</sst>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9" xfId="0" applyAlignment="1" applyFont="1" applyNumberFormat="1">
      <alignment readingOrder="0" vertical="top"/>
    </xf>
    <xf borderId="0" fillId="0" fontId="1" numFmtId="9" xfId="0" applyAlignment="1" applyFont="1" applyNumberFormat="1">
      <alignment vertical="top"/>
    </xf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63"/>
    <col customWidth="1" min="13" max="13" width="22.13"/>
    <col customWidth="1" min="14" max="14" width="22.25"/>
  </cols>
  <sheetData>
    <row r="2">
      <c r="A2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s="1" t="s">
        <v>6</v>
      </c>
      <c r="B4" s="2">
        <f>25%</f>
        <v>0.25</v>
      </c>
      <c r="C4" s="3">
        <f>56%</f>
        <v>0.56</v>
      </c>
      <c r="D4" s="4">
        <v>-0.37</v>
      </c>
      <c r="E4" s="5">
        <f>7%</f>
        <v>0.07</v>
      </c>
      <c r="F4" s="5"/>
    </row>
    <row r="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>
      <c r="A6" s="1" t="s">
        <v>6</v>
      </c>
      <c r="B6" s="5">
        <f>+34%</f>
        <v>0.34</v>
      </c>
      <c r="C6" s="5">
        <f>40%</f>
        <v>0.4</v>
      </c>
      <c r="D6" s="4">
        <v>-0.28</v>
      </c>
      <c r="E6" s="5">
        <f>20%</f>
        <v>0.2</v>
      </c>
    </row>
    <row r="7">
      <c r="A7" s="1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 t="s">
        <v>14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 t="s">
        <v>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16</v>
      </c>
      <c r="P10" s="1" t="s">
        <v>16</v>
      </c>
      <c r="Q10" s="1"/>
      <c r="R10" s="1" t="s">
        <v>16</v>
      </c>
      <c r="S10" s="1" t="s">
        <v>16</v>
      </c>
    </row>
    <row r="11">
      <c r="A11" s="1"/>
      <c r="B11" s="1"/>
      <c r="C11" s="1"/>
      <c r="D11" s="1"/>
      <c r="E11" s="1"/>
      <c r="F11" s="1"/>
      <c r="G11" s="1"/>
      <c r="H11" s="1"/>
      <c r="I11" s="1" t="s">
        <v>17</v>
      </c>
      <c r="J11" s="1"/>
      <c r="K11" s="1" t="s">
        <v>18</v>
      </c>
      <c r="L11" s="1"/>
      <c r="M11" s="1" t="s">
        <v>19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21</v>
      </c>
      <c r="S11" s="1" t="s">
        <v>21</v>
      </c>
    </row>
    <row r="12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32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37</v>
      </c>
      <c r="Q12" s="1" t="s">
        <v>38</v>
      </c>
      <c r="R12" s="1" t="s">
        <v>39</v>
      </c>
      <c r="S12" s="1" t="s">
        <v>40</v>
      </c>
    </row>
    <row r="13">
      <c r="A13" s="1" t="s">
        <v>6</v>
      </c>
      <c r="F13" s="1" t="s">
        <v>41</v>
      </c>
      <c r="G13" s="6">
        <f>41%</f>
        <v>0.41</v>
      </c>
      <c r="H13" s="1" t="s">
        <v>41</v>
      </c>
      <c r="I13" s="4">
        <v>-0.04</v>
      </c>
      <c r="J13" s="4">
        <v>-0.36</v>
      </c>
      <c r="K13" s="4">
        <v>-0.38</v>
      </c>
      <c r="L13" s="1" t="s">
        <v>42</v>
      </c>
      <c r="M13" s="4">
        <v>-0.14</v>
      </c>
      <c r="N13" s="6">
        <f>3%</f>
        <v>0.03</v>
      </c>
      <c r="O13" s="6">
        <f>11%</f>
        <v>0.11</v>
      </c>
      <c r="P13" s="6">
        <f>16%</f>
        <v>0.16</v>
      </c>
      <c r="Q13" s="6">
        <f>39% </f>
        <v>0.39</v>
      </c>
      <c r="R13" s="6">
        <f>41%</f>
        <v>0.41</v>
      </c>
      <c r="S13" s="6">
        <f>13%</f>
        <v>0.13</v>
      </c>
    </row>
  </sheetData>
  <drawing r:id="rId1"/>
</worksheet>
</file>